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ssé Alves\Desktop\Projetos Curso Excel\"/>
    </mc:Choice>
  </mc:AlternateContent>
  <xr:revisionPtr revIDLastSave="0" documentId="13_ncr:1_{1C3A8C92-6D74-4657-B646-9D7DD5895D79}" xr6:coauthVersionLast="47" xr6:coauthVersionMax="47" xr10:uidLastSave="{00000000-0000-0000-0000-000000000000}"/>
  <bookViews>
    <workbookView xWindow="-120" yWindow="-120" windowWidth="29040" windowHeight="158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3" l="1"/>
  <c r="F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<sst xmlns="http://schemas.openxmlformats.org/spreadsheetml/2006/main" count="2022" uniqueCount="324">
  <si>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</si>
  <si>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</si>
  <si>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</si>
  <si>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</si>
  <si>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</si>
  <si>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</si>
  <si>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</si>
  <si>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</si>
  <si>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</si>
  <si>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</si>
  <si>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</si>
  <si>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</si>
  <si>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</si>
  <si>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</si>
  <si>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</si>
  <si>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</si>
  <si>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</si>
  <si>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</si>
  <si>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</si>
  <si>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</si>
  <si>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</si>
  <si>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</si>
  <si>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</si>
  <si>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</si>
  <si>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</si>
  <si>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</si>
  <si>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</si>
  <si>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</si>
  <si>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</si>
  <si>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</si>
  <si>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</si>
  <si>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</si>
  <si>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</si>
  <si>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</si>
  <si>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</si>
  <si>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</si>
  <si>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</si>
  <si>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</si>
  <si>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</si>
  <si>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</si>
  <si>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</si>
  <si>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</si>
  <si>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</si>
  <si>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</si>
  <si>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</si>
  <si>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</si>
  <si>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</si>
  <si>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</si>
  <si>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</si>
  <si>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</si>
  <si>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</si>
  <si>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</si>
  <si>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</si>
  <si>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</si>
  <si>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</si>
  <si>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</si>
  <si>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</si>
  <si>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</si>
  <si>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</si>
  <si>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</si>
  <si>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</si>
  <si>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</si>
  <si>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</si>
  <si>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</si>
  <si>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</si>
  <si>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</si>
  <si>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</si>
  <si>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</si>
  <si>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</si>
  <si>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</si>
  <si>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</si>
  <si>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</si>
  <si>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</si>
  <si>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</si>
  <si>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</si>
  <si>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</si>
  <si>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</si>
  <si>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</si>
  <si>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</si>
  <si>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</si>
  <si>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</si>
  <si>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</si>
  <si>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</si>
  <si>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</si>
  <si>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</si>
  <si>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</si>
  <si>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</si>
  <si>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</si>
  <si>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</si>
  <si>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</si>
  <si>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</si>
  <si>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</si>
  <si>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</si>
  <si>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</si>
  <si>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</si>
  <si>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</si>
  <si>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</si>
  <si>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</si>
  <si>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</si>
  <si>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</si>
  <si>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</si>
  <si>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</si>
  <si>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</si>
  <si>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</si>
  <si>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</si>
  <si>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</si>
  <si>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</si>
  <si>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</si>
  <si>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</si>
  <si>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</si>
  <si>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</si>
  <si>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</si>
  <si>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</si>
  <si>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</si>
  <si>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</si>
  <si>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</si>
  <si>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</si>
  <si>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</si>
  <si>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</si>
  <si>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</si>
  <si>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</si>
  <si>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</si>
  <si>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</si>
  <si>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</si>
  <si>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</si>
  <si>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</si>
  <si>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</si>
  <si>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</si>
  <si>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</si>
  <si>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</si>
  <si>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</si>
  <si>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</si>
  <si>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</si>
  <si>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</si>
  <si>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</si>
  <si>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</si>
  <si>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</si>
  <si>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</si>
  <si>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</si>
  <si>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</si>
  <si>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</si>
  <si>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</si>
  <si>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</si>
  <si>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</si>
  <si>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</si>
  <si>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</si>
  <si>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</si>
  <si>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</si>
  <si>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</si>
  <si>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</si>
  <si>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</si>
  <si>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</si>
  <si>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</si>
  <si>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</si>
  <si>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</si>
  <si>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</si>
  <si>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</si>
  <si>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</si>
  <si>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</si>
  <si>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</si>
  <si>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</si>
  <si>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</si>
  <si>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</si>
  <si>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</si>
  <si>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</si>
  <si>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</si>
  <si>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</si>
  <si>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</si>
  <si>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</si>
  <si>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</si>
  <si>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</si>
  <si>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</si>
  <si>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</si>
  <si>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</si>
  <si>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</si>
  <si>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</si>
  <si>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</si>
  <si>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</si>
  <si>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</si>
  <si>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</si>
  <si>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</si>
  <si>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</si>
  <si>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</si>
  <si>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</si>
  <si>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</si>
  <si>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</si>
  <si>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</si>
  <si>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</si>
  <si>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</si>
  <si>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</si>
  <si>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</si>
  <si>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</si>
  <si>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</si>
  <si>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</si>
  <si>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</si>
  <si>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</si>
  <si>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</si>
  <si>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</si>
  <si>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</si>
  <si>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</si>
  <si>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</si>
  <si>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</si>
  <si>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</si>
  <si>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</si>
  <si>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</si>
  <si>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</si>
  <si>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</si>
  <si>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</si>
  <si>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</si>
  <si>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</si>
  <si>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</si>
  <si>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</si>
  <si>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</si>
  <si>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</si>
  <si>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</si>
  <si>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</si>
  <si>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</si>
  <si>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</si>
  <si>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</si>
  <si>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</si>
  <si>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</si>
  <si>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</si>
  <si>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</si>
  <si>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</si>
  <si>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</si>
  <si>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</si>
  <si>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</si>
  <si>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</si>
  <si>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</si>
  <si>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</si>
  <si>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</si>
  <si>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</si>
  <si>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</si>
  <si>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</si>
  <si>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</si>
  <si>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</si>
  <si>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</si>
  <si>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</si>
  <si>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</si>
  <si>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</si>
  <si>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</si>
  <si>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</si>
  <si>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</si>
  <si>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</si>
  <si>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</si>
  <si>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</si>
  <si>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</si>
  <si>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</si>
  <si>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</si>
  <si>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</si>
  <si>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</si>
  <si>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</si>
  <si>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</si>
  <si>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</si>
  <si>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</si>
  <si>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</si>
  <si>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</si>
  <si>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</si>
  <si>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</si>
  <si>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</si>
  <si>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</si>
  <si>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</si>
  <si>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</si>
  <si>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</si>
  <si>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</si>
  <si>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</si>
  <si>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</si>
  <si>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</si>
  <si>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</si>
  <si>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</si>
  <si>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</si>
  <si>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</si>
  <si>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</si>
  <si>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</si>
  <si>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</si>
  <si>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</si>
  <si>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</si>
  <si>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</si>
  <si>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</si>
  <si>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</si>
  <si>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</si>
  <si>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</si>
  <si>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</si>
  <si>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</si>
  <si>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</si>
  <si>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</si>
  <si>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</si>
  <si>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</si>
  <si>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</si>
  <si>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</si>
  <si>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</si>
  <si>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</si>
  <si>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</si>
  <si>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</si>
  <si>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</si>
  <si>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</si>
  <si>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</si>
  <si>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</si>
  <si>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</si>
  <si>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</si>
  <si>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</si>
  <si>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</si>
  <si>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</si>
  <si>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</si>
  <si>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</si>
  <si>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</si>
  <si>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</si>
  <si>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</si>
  <si>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</si>
  <si>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</si>
  <si>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</si>
  <si>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</si>
  <si>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</si>
  <si>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</si>
  <si>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t>Rótulos de Linha</t>
  </si>
  <si>
    <t>Total Geral</t>
  </si>
  <si>
    <t>Soma de Total Value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</si>
  <si>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</t>
    </r>
    <r>
      <rPr>
        <sz val="11"/>
        <color theme="1"/>
        <rFont val="Aptos Narrow"/>
        <family val="2"/>
        <scheme val="minor"/>
      </rPr>
      <t>a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</si>
  <si>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</si>
  <si>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t>Pergunta de Negócio 3 - Total de Vendas de Assinaturasdo EA Play</t>
  </si>
  <si>
    <t>Soma de EA Play Season Pass</t>
  </si>
  <si>
    <t>Pergunta de Negócio 4 - Total de Assinaturas do Minecraft Season Pass</t>
  </si>
  <si>
    <t>Soma de Minecraft Season Pass Price</t>
  </si>
  <si>
    <t xml:space="preserve">       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</si>
</sst>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60A500"/>
      <name val="SegoI UI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44" fontId="0" fillId="0" borderId="0" xfId="2" applyFont="1"/>
    <xf numFmtId="164" fontId="0" fillId="0" borderId="0" xfId="2" applyNumberFormat="1" applyFont="1"/>
    <xf numFmtId="0" fontId="5" fillId="0" borderId="2" xfId="1" applyFont="1" applyFill="1" applyBorder="1"/>
    <xf numFmtId="0" fontId="0" fillId="0" borderId="2" xfId="0" applyBorder="1"/>
    <xf numFmtId="0" fontId="5" fillId="0" borderId="2" xfId="1" applyFont="1" applyFill="1" applyBorder="1" applyAlignment="1">
      <alignment horizontal="left" vertical="center" indent="3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rgb="FF5BF6A8"/>
          <bgColor rgb="FF22C55E"/>
        </patternFill>
      </fill>
    </dxf>
    <dxf>
      <fill>
        <patternFill patternType="solid">
          <fgColor rgb="FF00B050"/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2EA9F48B-EF72-432E-B047-3B2F18C05F8F}">
      <tableStyleElement type="wholeTable" dxfId="15"/>
      <tableStyleElement type="headerRow" dxfId="14"/>
    </tableStyle>
  </tableStyles>
  <colors>
    <mruColors>
      <color rgb="FF22C55E"/>
      <color rgb="FF00B050"/>
      <color rgb="FF5BF6A8"/>
      <color rgb="FF9BC848"/>
      <color rgb="FFE8E6E9"/>
      <color rgb="FFEDEDED"/>
      <color rgb="FF2AE6B1"/>
      <color rgb="FF000000"/>
      <color rgb="FFE0E0E0"/>
      <color rgb="FFF7F8FC"/>
    </mruColors>
  </colors>
  <extLst>
    <ext xmlns:x14="http://schemas.microsoft.com/office/spreadsheetml/2009/9/main" uri="{46F421CA-312F-682f-3DD2-61675219B42D}">
      <x14:dxfs count="8">
        <dxf>
          <fill>
            <patternFill>
              <bgColor rgb="FF92D050"/>
            </patternFill>
          </fill>
        </dxf>
        <dxf>
          <fill>
            <patternFill>
              <bgColor rgb="FF92D050"/>
            </patternFill>
          </fill>
        </dxf>
        <dxf>
          <fill>
            <patternFill>
              <bgColor rgb="FF92D050"/>
            </patternFill>
          </fill>
        </dxf>
        <dxf>
          <fill>
            <patternFill>
              <bgColor rgb="FF92D050"/>
            </patternFill>
          </fill>
        </dxf>
        <dxf>
          <fill>
            <patternFill>
              <bgColor rgb="FF92D050"/>
            </patternFill>
          </fill>
        </dxf>
        <dxf>
          <fill>
            <patternFill patternType="lightGrid">
              <fgColor rgb="FF5BF6A8"/>
              <bgColor rgb="FF92D050"/>
            </patternFill>
          </fill>
        </dxf>
        <dxf>
          <fill>
            <patternFill>
              <bgColor rgb="FF92D050"/>
            </patternFill>
          </fill>
        </dxf>
        <dxf>
          <fill>
            <patternFill patternType="lightGrid">
              <fgColor rgb="FF9BC848"/>
              <bgColor rgb="FF92D05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 de Vendas do Xbox com Excel.xlsx]C̳álculos!tbl_annual_total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9BC84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85892388451443"/>
          <c:y val="0.27227530150356932"/>
          <c:w val="0.68236329833770781"/>
          <c:h val="0.64000535985880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BC84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E-4900-911C-C5C321C3A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2375296"/>
        <c:axId val="502375656"/>
      </c:barChart>
      <c:catAx>
        <c:axId val="50237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2375656"/>
        <c:crosses val="autoZero"/>
        <c:auto val="1"/>
        <c:lblAlgn val="ctr"/>
        <c:lblOffset val="100"/>
        <c:noMultiLvlLbl val="0"/>
      </c:catAx>
      <c:valAx>
        <c:axId val="50237565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0237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sv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3.svg"/><Relationship Id="rId10" Type="http://schemas.openxmlformats.org/officeDocument/2006/relationships/image" Target="../media/image14.png"/><Relationship Id="rId4" Type="http://schemas.openxmlformats.org/officeDocument/2006/relationships/image" Target="../media/image12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295275</xdr:colOff>
      <xdr:row>22</xdr:row>
      <xdr:rowOff>133349</xdr:rowOff>
    </xdr:from>
    <xdr:to>
      <xdr:col>7</xdr:col>
      <xdr:colOff>15951</xdr:colOff>
      <xdr:row>26</xdr:row>
      <xdr:rowOff>123825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733675" y="447674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9</xdr:col>
      <xdr:colOff>19050</xdr:colOff>
      <xdr:row>13</xdr:row>
      <xdr:rowOff>38100</xdr:rowOff>
    </xdr:from>
    <xdr:to>
      <xdr:col>10</xdr:col>
      <xdr:colOff>130629</xdr:colOff>
      <xdr:row>16</xdr:row>
      <xdr:rowOff>185058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3E66421-DD64-4FB6-BD5C-C566BD30768A}"/>
            </a:ext>
          </a:extLst>
        </xdr:cNvPr>
        <xdr:cNvSpPr/>
      </xdr:nvSpPr>
      <xdr:spPr>
        <a:xfrm>
          <a:off x="5133975" y="2667000"/>
          <a:ext cx="721179" cy="71845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12</xdr:col>
      <xdr:colOff>371475</xdr:colOff>
      <xdr:row>14</xdr:row>
      <xdr:rowOff>9525</xdr:rowOff>
    </xdr:from>
    <xdr:to>
      <xdr:col>13</xdr:col>
      <xdr:colOff>54944</xdr:colOff>
      <xdr:row>15</xdr:row>
      <xdr:rowOff>104173</xdr:rowOff>
    </xdr:to>
    <xdr:pic>
      <xdr:nvPicPr>
        <xdr:cNvPr id="4" name="Gráfico 3" descr="Lupa com preenchimento sólido">
          <a:extLst>
            <a:ext uri="{FF2B5EF4-FFF2-40B4-BE49-F238E27FC236}">
              <a16:creationId xmlns:a16="http://schemas.microsoft.com/office/drawing/2014/main" id="{2E6C7FDB-F433-4C5F-94F9-69CAB483C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7315200" y="2828925"/>
          <a:ext cx="293069" cy="285148"/>
        </a:xfrm>
        <a:prstGeom prst="rect">
          <a:avLst/>
        </a:prstGeom>
      </xdr:spPr>
    </xdr:pic>
    <xdr:clientData/>
  </xdr:twoCellAnchor>
  <xdr:twoCellAnchor editAs="absolute">
    <xdr:from>
      <xdr:col>10</xdr:col>
      <xdr:colOff>495301</xdr:colOff>
      <xdr:row>13</xdr:row>
      <xdr:rowOff>57150</xdr:rowOff>
    </xdr:from>
    <xdr:to>
      <xdr:col>11</xdr:col>
      <xdr:colOff>495301</xdr:colOff>
      <xdr:row>17</xdr:row>
      <xdr:rowOff>47625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B203F258-597A-451F-BC3A-AD51B7A774CF}"/>
            </a:ext>
          </a:extLst>
        </xdr:cNvPr>
        <xdr:cNvSpPr/>
      </xdr:nvSpPr>
      <xdr:spPr>
        <a:xfrm>
          <a:off x="6219826" y="2686050"/>
          <a:ext cx="609600" cy="752475"/>
        </a:xfrm>
        <a:prstGeom prst="ellipse">
          <a:avLst/>
        </a:prstGeom>
        <a:blipFill>
          <a:blip xmlns:r="http://schemas.openxmlformats.org/officeDocument/2006/relationships" r:embed="rId10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751417</xdr:colOff>
      <xdr:row>120</xdr:row>
      <xdr:rowOff>127000</xdr:rowOff>
    </xdr:from>
    <xdr:to>
      <xdr:col>12</xdr:col>
      <xdr:colOff>209550</xdr:colOff>
      <xdr:row>124</xdr:row>
      <xdr:rowOff>211666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3737167" y="4953000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97631</xdr:colOff>
      <xdr:row>0</xdr:row>
      <xdr:rowOff>0</xdr:rowOff>
    </xdr:from>
    <xdr:to>
      <xdr:col>3</xdr:col>
      <xdr:colOff>466725</xdr:colOff>
      <xdr:row>2</xdr:row>
      <xdr:rowOff>66674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92C999-7179-41BD-860F-42888E2D42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8" t="5824" r="71948" b="13809"/>
        <a:stretch>
          <a:fillRect/>
        </a:stretch>
      </xdr:blipFill>
      <xdr:spPr>
        <a:xfrm>
          <a:off x="2193131" y="0"/>
          <a:ext cx="597694" cy="638174"/>
        </a:xfrm>
        <a:prstGeom prst="rect">
          <a:avLst/>
        </a:prstGeom>
      </xdr:spPr>
    </xdr:pic>
    <xdr:clientData/>
  </xdr:twoCellAnchor>
  <xdr:twoCellAnchor editAs="absolute">
    <xdr:from>
      <xdr:col>0</xdr:col>
      <xdr:colOff>59531</xdr:colOff>
      <xdr:row>6</xdr:row>
      <xdr:rowOff>102394</xdr:rowOff>
    </xdr:from>
    <xdr:to>
      <xdr:col>0</xdr:col>
      <xdr:colOff>1785938</xdr:colOff>
      <xdr:row>12</xdr:row>
      <xdr:rowOff>38101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A0547BD-92CA-4FC4-B857-47C1C9AB51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1" y="1502569"/>
              <a:ext cx="1726407" cy="12406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95250</xdr:colOff>
      <xdr:row>3</xdr:row>
      <xdr:rowOff>66675</xdr:rowOff>
    </xdr:from>
    <xdr:to>
      <xdr:col>11</xdr:col>
      <xdr:colOff>361950</xdr:colOff>
      <xdr:row>13</xdr:row>
      <xdr:rowOff>95249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7B9CC480-D563-0EA0-AAB4-072305C1427A}"/>
            </a:ext>
          </a:extLst>
        </xdr:cNvPr>
        <xdr:cNvGrpSpPr/>
      </xdr:nvGrpSpPr>
      <xdr:grpSpPr>
        <a:xfrm>
          <a:off x="1981200" y="1133475"/>
          <a:ext cx="5581650" cy="1857374"/>
          <a:chOff x="2009775" y="1943100"/>
          <a:chExt cx="5581650" cy="152696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A560AE5E-551C-A4EA-56B2-28AD9B4BA219}"/>
              </a:ext>
            </a:extLst>
          </xdr:cNvPr>
          <xdr:cNvSpPr/>
        </xdr:nvSpPr>
        <xdr:spPr>
          <a:xfrm>
            <a:off x="2009775" y="2381250"/>
            <a:ext cx="5581650" cy="914400"/>
          </a:xfrm>
          <a:prstGeom prst="roundRect">
            <a:avLst>
              <a:gd name="adj" fmla="val 529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206F8046-80BB-4D44-8575-D4F4CA1A7B43}"/>
              </a:ext>
            </a:extLst>
          </xdr:cNvPr>
          <xdr:cNvSpPr/>
        </xdr:nvSpPr>
        <xdr:spPr>
          <a:xfrm>
            <a:off x="4133850" y="2496241"/>
            <a:ext cx="2505075" cy="762000"/>
          </a:xfrm>
          <a:prstGeom prst="roundRect">
            <a:avLst>
              <a:gd name="adj" fmla="val 4691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A24C677-9478-4ED5-B35B-FAE4538819CA}" type="TxLink">
              <a:rPr lang="en-US" sz="3600" b="0" i="0" u="none" strike="noStrike">
                <a:solidFill>
                  <a:srgbClr val="9BC848"/>
                </a:solidFill>
                <a:latin typeface="Aptos Narrow"/>
              </a:rPr>
              <a:pPr algn="ctr"/>
              <a:t>R$ 990,00</a:t>
            </a:fld>
            <a:endParaRPr lang="pt-BR" sz="3600">
              <a:solidFill>
                <a:srgbClr val="9BC848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81EE1D32-B252-4739-B3F4-6A6D040447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19325" y="2250861"/>
            <a:ext cx="1219200" cy="121920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B384F17D-8F99-5F31-CDF1-3FFD233CE306}"/>
              </a:ext>
            </a:extLst>
          </xdr:cNvPr>
          <xdr:cNvSpPr/>
        </xdr:nvSpPr>
        <xdr:spPr>
          <a:xfrm>
            <a:off x="2009775" y="1943100"/>
            <a:ext cx="5581650" cy="5048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/>
              <a:t>TOTAL</a:t>
            </a:r>
            <a:r>
              <a:rPr lang="pt-BR" sz="2400" b="1" baseline="0"/>
              <a:t> SUBSCRIPTONS EA PLAY SEASON PASS</a:t>
            </a:r>
            <a:endParaRPr lang="pt-BR" sz="2400" b="1"/>
          </a:p>
        </xdr:txBody>
      </xdr:sp>
    </xdr:grpSp>
    <xdr:clientData/>
  </xdr:twoCellAnchor>
  <xdr:twoCellAnchor>
    <xdr:from>
      <xdr:col>12</xdr:col>
      <xdr:colOff>28575</xdr:colOff>
      <xdr:row>3</xdr:row>
      <xdr:rowOff>66675</xdr:rowOff>
    </xdr:from>
    <xdr:to>
      <xdr:col>21</xdr:col>
      <xdr:colOff>133350</xdr:colOff>
      <xdr:row>11</xdr:row>
      <xdr:rowOff>152400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999CD4D1-F55A-5563-EB80-F3490FA4717F}"/>
            </a:ext>
          </a:extLst>
        </xdr:cNvPr>
        <xdr:cNvGrpSpPr/>
      </xdr:nvGrpSpPr>
      <xdr:grpSpPr>
        <a:xfrm>
          <a:off x="7667625" y="1133475"/>
          <a:ext cx="5591175" cy="1533525"/>
          <a:chOff x="7781925" y="1943100"/>
          <a:chExt cx="5591175" cy="1400175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F8C40FDB-B4B5-A3E0-08A5-BCFCEFBDA7E4}"/>
              </a:ext>
            </a:extLst>
          </xdr:cNvPr>
          <xdr:cNvSpPr/>
        </xdr:nvSpPr>
        <xdr:spPr>
          <a:xfrm>
            <a:off x="7781925" y="2428875"/>
            <a:ext cx="5581650" cy="914400"/>
          </a:xfrm>
          <a:prstGeom prst="roundRect">
            <a:avLst>
              <a:gd name="adj" fmla="val 529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5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792D05BE-F819-A2E9-21E4-791AF843A027}"/>
              </a:ext>
            </a:extLst>
          </xdr:cNvPr>
          <xdr:cNvSpPr/>
        </xdr:nvSpPr>
        <xdr:spPr>
          <a:xfrm>
            <a:off x="9972675" y="2466561"/>
            <a:ext cx="2505075" cy="762000"/>
          </a:xfrm>
          <a:prstGeom prst="roundRect">
            <a:avLst>
              <a:gd name="adj" fmla="val 4691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22C00E8-2174-4648-BE75-19129471136C}" type="TxLink">
              <a:rPr lang="en-US" sz="3600" b="0" i="0" u="none" strike="noStrike">
                <a:solidFill>
                  <a:srgbClr val="9BC848"/>
                </a:solidFill>
                <a:latin typeface="Aptos Narrow"/>
              </a:rPr>
              <a:pPr algn="ctr"/>
              <a:t> R$ 1.140,00 </a:t>
            </a:fld>
            <a:endParaRPr lang="pt-BR" sz="9600">
              <a:solidFill>
                <a:srgbClr val="9BC848"/>
              </a:solidFill>
            </a:endParaRPr>
          </a:p>
        </xdr:txBody>
      </xdr:sp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79C27A97-D3C3-F8D6-FD15-D3A172AC7853}"/>
              </a:ext>
            </a:extLst>
          </xdr:cNvPr>
          <xdr:cNvSpPr/>
        </xdr:nvSpPr>
        <xdr:spPr>
          <a:xfrm>
            <a:off x="7791450" y="1943100"/>
            <a:ext cx="5581650" cy="5048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/>
              <a:t>TOTAL</a:t>
            </a:r>
            <a:r>
              <a:rPr lang="pt-BR" sz="2400" b="1" baseline="0"/>
              <a:t> SUBSCRIPTONS EA PLAY SEASON PASS</a:t>
            </a:r>
            <a:endParaRPr lang="pt-BR" sz="2400" b="1"/>
          </a:p>
        </xdr:txBody>
      </xdr: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FAA2576A-BA69-4E3A-BE4D-B34572F7B1DF}"/>
              </a:ext>
            </a:extLst>
          </xdr:cNvPr>
          <xdr:cNvGrpSpPr/>
        </xdr:nvGrpSpPr>
        <xdr:grpSpPr>
          <a:xfrm>
            <a:off x="8191500" y="2599080"/>
            <a:ext cx="1295400" cy="601318"/>
            <a:chOff x="3495675" y="5273444"/>
            <a:chExt cx="1549476" cy="87970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371434D0-D68B-33F4-003D-C429930EFB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18855" y="5273444"/>
              <a:ext cx="555497" cy="609599"/>
            </a:xfrm>
            <a:prstGeom prst="rect">
              <a:avLst/>
            </a:prstGeom>
            <a:ln>
              <a:noFill/>
            </a:ln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A68655F3-2DDD-5E2A-94CA-34CFE5D036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128587</xdr:colOff>
      <xdr:row>13</xdr:row>
      <xdr:rowOff>114300</xdr:rowOff>
    </xdr:from>
    <xdr:to>
      <xdr:col>21</xdr:col>
      <xdr:colOff>219075</xdr:colOff>
      <xdr:row>29</xdr:row>
      <xdr:rowOff>104775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54CAEC32-402F-D101-A9F1-23D605D90907}"/>
            </a:ext>
          </a:extLst>
        </xdr:cNvPr>
        <xdr:cNvGrpSpPr/>
      </xdr:nvGrpSpPr>
      <xdr:grpSpPr>
        <a:xfrm>
          <a:off x="2014537" y="3009900"/>
          <a:ext cx="11329988" cy="3038475"/>
          <a:chOff x="2024062" y="2809875"/>
          <a:chExt cx="11225212" cy="3038475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DCE6089B-D13B-5639-949E-4E22C5F300D1}"/>
              </a:ext>
            </a:extLst>
          </xdr:cNvPr>
          <xdr:cNvGrpSpPr/>
        </xdr:nvGrpSpPr>
        <xdr:grpSpPr>
          <a:xfrm>
            <a:off x="2024062" y="3286125"/>
            <a:ext cx="11215688" cy="2562225"/>
            <a:chOff x="2571750" y="1393031"/>
            <a:chExt cx="5167371" cy="2583656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1ADCF098-7DF2-C13C-FA37-29B06EFE296D}"/>
                </a:ext>
              </a:extLst>
            </xdr:cNvPr>
            <xdr:cNvSpPr/>
          </xdr:nvSpPr>
          <xdr:spPr>
            <a:xfrm>
              <a:off x="2571750" y="1393031"/>
              <a:ext cx="5167371" cy="2583656"/>
            </a:xfrm>
            <a:prstGeom prst="roundRect">
              <a:avLst>
                <a:gd name="adj" fmla="val 199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E449D2B-FA85-465A-97AA-81EEFE5A1F07}"/>
                </a:ext>
              </a:extLst>
            </xdr:cNvPr>
            <xdr:cNvGraphicFramePr>
              <a:graphicFrameLocks/>
            </xdr:cNvGraphicFramePr>
          </xdr:nvGraphicFramePr>
          <xdr:xfrm>
            <a:off x="2957513" y="1666875"/>
            <a:ext cx="4572000" cy="21716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40" name="Retângulo: Cantos Superiores Arredondados 39">
            <a:extLst>
              <a:ext uri="{FF2B5EF4-FFF2-40B4-BE49-F238E27FC236}">
                <a16:creationId xmlns:a16="http://schemas.microsoft.com/office/drawing/2014/main" id="{62F7F819-2762-4240-A913-9F5ABD91E41B}"/>
              </a:ext>
            </a:extLst>
          </xdr:cNvPr>
          <xdr:cNvSpPr/>
        </xdr:nvSpPr>
        <xdr:spPr>
          <a:xfrm>
            <a:off x="2028823" y="2809875"/>
            <a:ext cx="11220451" cy="5048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/>
              <a:t>TOTAL</a:t>
            </a:r>
            <a:r>
              <a:rPr lang="pt-BR" sz="2400" b="1" baseline="0"/>
              <a:t> SUBSCRIPTONS XBOX GAME PASS</a:t>
            </a:r>
            <a:endParaRPr lang="pt-BR" sz="2400" b="1"/>
          </a:p>
        </xdr:txBody>
      </xdr:sp>
    </xdr:grpSp>
    <xdr:clientData/>
  </xdr:twoCellAnchor>
  <xdr:twoCellAnchor editAs="absolute">
    <xdr:from>
      <xdr:col>3</xdr:col>
      <xdr:colOff>0</xdr:colOff>
      <xdr:row>2</xdr:row>
      <xdr:rowOff>57150</xdr:rowOff>
    </xdr:from>
    <xdr:to>
      <xdr:col>3</xdr:col>
      <xdr:colOff>352425</xdr:colOff>
      <xdr:row>2</xdr:row>
      <xdr:rowOff>400050</xdr:rowOff>
    </xdr:to>
    <xdr:pic>
      <xdr:nvPicPr>
        <xdr:cNvPr id="42" name="Gráfico 41" descr="Lupa com preenchimento sólido">
          <a:extLst>
            <a:ext uri="{FF2B5EF4-FFF2-40B4-BE49-F238E27FC236}">
              <a16:creationId xmlns:a16="http://schemas.microsoft.com/office/drawing/2014/main" id="{9345F550-6913-4060-9003-071449337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324100" y="628650"/>
          <a:ext cx="352425" cy="342900"/>
        </a:xfrm>
        <a:prstGeom prst="rect">
          <a:avLst/>
        </a:prstGeom>
      </xdr:spPr>
    </xdr:pic>
    <xdr:clientData/>
  </xdr:twoCellAnchor>
  <xdr:twoCellAnchor editAs="absolute">
    <xdr:from>
      <xdr:col>0</xdr:col>
      <xdr:colOff>342900</xdr:colOff>
      <xdr:row>1</xdr:row>
      <xdr:rowOff>57150</xdr:rowOff>
    </xdr:from>
    <xdr:to>
      <xdr:col>0</xdr:col>
      <xdr:colOff>1304925</xdr:colOff>
      <xdr:row>2</xdr:row>
      <xdr:rowOff>476250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D16E1044-D630-487D-8994-46719AF43897}"/>
            </a:ext>
          </a:extLst>
        </xdr:cNvPr>
        <xdr:cNvSpPr/>
      </xdr:nvSpPr>
      <xdr:spPr>
        <a:xfrm>
          <a:off x="342900" y="142875"/>
          <a:ext cx="962025" cy="904875"/>
        </a:xfrm>
        <a:prstGeom prst="ellipse">
          <a:avLst/>
        </a:prstGeom>
        <a:blipFill>
          <a:blip xmlns:r="http://schemas.openxmlformats.org/officeDocument/2006/relationships" r:embed="rId9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95251</xdr:colOff>
      <xdr:row>3</xdr:row>
      <xdr:rowOff>95250</xdr:rowOff>
    </xdr:from>
    <xdr:to>
      <xdr:col>0</xdr:col>
      <xdr:colOff>1752601</xdr:colOff>
      <xdr:row>6</xdr:row>
      <xdr:rowOff>0</xdr:rowOff>
    </xdr:to>
    <xdr:sp macro="" textlink="">
      <xdr:nvSpPr>
        <xdr:cNvPr id="46" name="Retângulo: Cantos Arredondados 45">
          <a:extLst>
            <a:ext uri="{FF2B5EF4-FFF2-40B4-BE49-F238E27FC236}">
              <a16:creationId xmlns:a16="http://schemas.microsoft.com/office/drawing/2014/main" id="{A8A88B4E-B417-C08B-3E88-0058EF92FF37}"/>
            </a:ext>
          </a:extLst>
        </xdr:cNvPr>
        <xdr:cNvSpPr/>
      </xdr:nvSpPr>
      <xdr:spPr>
        <a:xfrm>
          <a:off x="95251" y="1162050"/>
          <a:ext cx="1657350" cy="2381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latin typeface="SegoI UI"/>
            </a:rPr>
            <a:t>Bem vindo, @Gamer1</a:t>
          </a:r>
        </a:p>
      </xdr:txBody>
    </xdr:sp>
    <xdr:clientData/>
  </xdr:twoCellAnchor>
  <xdr:twoCellAnchor>
    <xdr:from>
      <xdr:col>12</xdr:col>
      <xdr:colOff>28575</xdr:colOff>
      <xdr:row>3</xdr:row>
      <xdr:rowOff>66675</xdr:rowOff>
    </xdr:from>
    <xdr:to>
      <xdr:col>21</xdr:col>
      <xdr:colOff>123825</xdr:colOff>
      <xdr:row>7</xdr:row>
      <xdr:rowOff>162379</xdr:rowOff>
    </xdr:to>
    <xdr:sp macro="" textlink="">
      <xdr:nvSpPr>
        <xdr:cNvPr id="47" name="Retângulo: Cantos Superiores Arredondados 46">
          <a:extLst>
            <a:ext uri="{FF2B5EF4-FFF2-40B4-BE49-F238E27FC236}">
              <a16:creationId xmlns:a16="http://schemas.microsoft.com/office/drawing/2014/main" id="{B0ACFED5-1C2B-4966-B830-F5917EF96AA7}"/>
            </a:ext>
          </a:extLst>
        </xdr:cNvPr>
        <xdr:cNvSpPr/>
      </xdr:nvSpPr>
      <xdr:spPr>
        <a:xfrm>
          <a:off x="7667625" y="1247775"/>
          <a:ext cx="5581650" cy="552904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TOTAL</a:t>
          </a:r>
          <a:r>
            <a:rPr lang="pt-BR" sz="2400" b="1" baseline="0"/>
            <a:t> SUBSCRIPTONS EA PLAY SEASON PASS</a:t>
          </a:r>
          <a:endParaRPr lang="pt-BR" sz="2400" b="1"/>
        </a:p>
      </xdr:txBody>
    </xdr:sp>
    <xdr:clientData/>
  </xdr:twoCellAnchor>
  <xdr:twoCellAnchor>
    <xdr:from>
      <xdr:col>1</xdr:col>
      <xdr:colOff>95250</xdr:colOff>
      <xdr:row>11</xdr:row>
      <xdr:rowOff>133351</xdr:rowOff>
    </xdr:from>
    <xdr:to>
      <xdr:col>11</xdr:col>
      <xdr:colOff>361950</xdr:colOff>
      <xdr:row>13</xdr:row>
      <xdr:rowOff>19051</xdr:rowOff>
    </xdr:to>
    <xdr:sp macro="" textlink="">
      <xdr:nvSpPr>
        <xdr:cNvPr id="50" name="Retângulo: Cantos Superiores Arredondados 49">
          <a:extLst>
            <a:ext uri="{FF2B5EF4-FFF2-40B4-BE49-F238E27FC236}">
              <a16:creationId xmlns:a16="http://schemas.microsoft.com/office/drawing/2014/main" id="{144F4E10-4DCB-43C2-9BEF-4762EF9DD495}"/>
            </a:ext>
          </a:extLst>
        </xdr:cNvPr>
        <xdr:cNvSpPr/>
      </xdr:nvSpPr>
      <xdr:spPr>
        <a:xfrm>
          <a:off x="1981200" y="2762251"/>
          <a:ext cx="5581650" cy="266700"/>
        </a:xfrm>
        <a:prstGeom prst="round2SameRect">
          <a:avLst>
            <a:gd name="adj1" fmla="val 0"/>
            <a:gd name="adj2" fmla="val 29915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/>
            <a:t>Calculation</a:t>
          </a:r>
          <a:r>
            <a:rPr lang="pt-BR" sz="1050" b="1" baseline="0"/>
            <a:t> period</a:t>
          </a:r>
          <a:r>
            <a:rPr lang="pt-BR" sz="1050" b="1"/>
            <a:t>: 01/01/2024</a:t>
          </a:r>
          <a:r>
            <a:rPr lang="pt-BR" sz="1050" b="1" baseline="0"/>
            <a:t> - 31/12/2024 | Update: 25/12/2024 07:00:00</a:t>
          </a:r>
          <a:endParaRPr lang="pt-BR" sz="1050" b="1"/>
        </a:p>
      </xdr:txBody>
    </xdr:sp>
    <xdr:clientData/>
  </xdr:twoCellAnchor>
  <xdr:twoCellAnchor>
    <xdr:from>
      <xdr:col>12</xdr:col>
      <xdr:colOff>66675</xdr:colOff>
      <xdr:row>11</xdr:row>
      <xdr:rowOff>123825</xdr:rowOff>
    </xdr:from>
    <xdr:to>
      <xdr:col>21</xdr:col>
      <xdr:colOff>161925</xdr:colOff>
      <xdr:row>13</xdr:row>
      <xdr:rowOff>19050</xdr:rowOff>
    </xdr:to>
    <xdr:sp macro="" textlink="">
      <xdr:nvSpPr>
        <xdr:cNvPr id="51" name="Retângulo: Cantos Superiores Arredondados 50">
          <a:extLst>
            <a:ext uri="{FF2B5EF4-FFF2-40B4-BE49-F238E27FC236}">
              <a16:creationId xmlns:a16="http://schemas.microsoft.com/office/drawing/2014/main" id="{4601EB36-7474-4711-8BC0-059675538677}"/>
            </a:ext>
          </a:extLst>
        </xdr:cNvPr>
        <xdr:cNvSpPr/>
      </xdr:nvSpPr>
      <xdr:spPr>
        <a:xfrm>
          <a:off x="7705725" y="2752725"/>
          <a:ext cx="5581650" cy="276225"/>
        </a:xfrm>
        <a:prstGeom prst="round2SameRect">
          <a:avLst>
            <a:gd name="adj1" fmla="val 0"/>
            <a:gd name="adj2" fmla="val 29915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2400" b="1"/>
        </a:p>
      </xdr:txBody>
    </xdr:sp>
    <xdr:clientData/>
  </xdr:twoCellAnchor>
  <xdr:twoCellAnchor editAs="absolute">
    <xdr:from>
      <xdr:col>12</xdr:col>
      <xdr:colOff>581025</xdr:colOff>
      <xdr:row>12</xdr:row>
      <xdr:rowOff>57150</xdr:rowOff>
    </xdr:from>
    <xdr:to>
      <xdr:col>20</xdr:col>
      <xdr:colOff>20567</xdr:colOff>
      <xdr:row>13</xdr:row>
      <xdr:rowOff>159283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A9E497C7-38B7-29BC-1DD5-02520DCD3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20075" y="2762250"/>
          <a:ext cx="4316342" cy="29263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sé Alves" refreshedDate="46316.992374305555" createdVersion="8" refreshedVersion="8" minRefreshableVersion="3" recordCount="295" xr:uid="{CF4ABFDB-BFD9-4F9A-9042-26E18CDC9E6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314232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25298-0FCC-4413-A791-97337DA61EEF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02476F-905C-4E7E-80B9-22343061DEA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924D8-638B-463A-BD53-471108A45274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B92BB27-B822-454E-B92A-7EFBFC4EBE80}" sourceName="Subscription Type">
  <pivotTables>
    <pivotTable tabId="3" name="tbl_annual_total"/>
    <pivotTable tabId="3" name="tbl_easeasonpass_total"/>
    <pivotTable tabId="3" name="Tabela dinâmica1"/>
  </pivotTables>
  <data>
    <tabular pivotCacheId="173142324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A06C179-5E92-42D1-BB38-3AE1C85DDE56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4">
      <filters>
        <filter val="Yes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G30" sqref="G30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G30" sqref="G30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6"/>
  <sheetViews>
    <sheetView showGridLines="0" zoomScale="90" zoomScaleNormal="90" workbookViewId="0">
      <selection activeCell="G30" sqref="G30"/>
    </sheetView>
  </sheetViews>
  <sheetFormatPr defaultRowHeight="1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15" t="s">
        <v>313</v>
      </c>
      <c r="C3" s="15"/>
      <c r="D3" s="15"/>
      <c r="E3" s="15"/>
      <c r="F3" s="15"/>
    </row>
    <row r="6" spans="2:6">
      <c r="B6" t="s">
        <v>317</v>
      </c>
    </row>
    <row r="7" spans="2:6">
      <c r="B7" t="s">
        <v>318</v>
      </c>
    </row>
    <row r="9" spans="2:6">
      <c r="B9" s="12" t="s">
        <v>16</v>
      </c>
      <c r="C9" t="s">
        <v>27</v>
      </c>
    </row>
    <row r="11" spans="2:6">
      <c r="B11" s="12" t="s">
        <v>314</v>
      </c>
      <c r="C11" t="s">
        <v>316</v>
      </c>
    </row>
    <row r="12" spans="2:6">
      <c r="B12" s="13" t="s">
        <v>23</v>
      </c>
      <c r="C12" s="14">
        <v>806</v>
      </c>
    </row>
    <row r="13" spans="2:6">
      <c r="B13" s="13" t="s">
        <v>19</v>
      </c>
      <c r="C13" s="14">
        <v>1502</v>
      </c>
    </row>
    <row r="14" spans="2:6">
      <c r="B14" s="13" t="s">
        <v>315</v>
      </c>
      <c r="C14" s="14">
        <v>2308</v>
      </c>
    </row>
    <row r="17" spans="2:6">
      <c r="B17" s="13" t="s">
        <v>319</v>
      </c>
    </row>
    <row r="19" spans="2:6">
      <c r="B19" s="12" t="s">
        <v>16</v>
      </c>
      <c r="C19" t="s">
        <v>27</v>
      </c>
    </row>
    <row r="21" spans="2:6">
      <c r="B21" s="12" t="s">
        <v>314</v>
      </c>
      <c r="C21" t="s">
        <v>320</v>
      </c>
    </row>
    <row r="22" spans="2:6">
      <c r="B22" s="13" t="s">
        <v>22</v>
      </c>
      <c r="C22">
        <v>0</v>
      </c>
    </row>
    <row r="23" spans="2:6">
      <c r="B23" s="13" t="s">
        <v>26</v>
      </c>
      <c r="C23">
        <v>0</v>
      </c>
    </row>
    <row r="24" spans="2:6">
      <c r="B24" s="13" t="s">
        <v>18</v>
      </c>
      <c r="C24">
        <v>990</v>
      </c>
    </row>
    <row r="25" spans="2:6">
      <c r="B25" s="13" t="s">
        <v>315</v>
      </c>
      <c r="C25">
        <v>990</v>
      </c>
      <c r="F25" s="17">
        <f>GETPIVOTDATA("EA Play Season Pass
Price",$B$21)</f>
        <v>990</v>
      </c>
    </row>
    <row r="28" spans="2:6">
      <c r="B28" s="13" t="s">
        <v>321</v>
      </c>
    </row>
    <row r="30" spans="2:6">
      <c r="B30" s="12" t="s">
        <v>16</v>
      </c>
      <c r="C30" t="s">
        <v>27</v>
      </c>
    </row>
    <row r="32" spans="2:6">
      <c r="B32" s="12" t="s">
        <v>314</v>
      </c>
      <c r="C32" t="s">
        <v>322</v>
      </c>
    </row>
    <row r="33" spans="2:6">
      <c r="B33" s="13" t="s">
        <v>22</v>
      </c>
      <c r="C33" s="14">
        <v>0</v>
      </c>
    </row>
    <row r="34" spans="2:6">
      <c r="B34" s="13" t="s">
        <v>26</v>
      </c>
      <c r="C34" s="14">
        <v>480</v>
      </c>
    </row>
    <row r="35" spans="2:6">
      <c r="B35" s="13" t="s">
        <v>18</v>
      </c>
      <c r="C35" s="14">
        <v>660</v>
      </c>
      <c r="F35" s="16">
        <f>GETPIVOTDATA("Minecraft Season Pass Price",$B$32)</f>
        <v>1140</v>
      </c>
    </row>
    <row r="36" spans="2:6">
      <c r="B36" s="13" t="s">
        <v>315</v>
      </c>
      <c r="C36" s="14">
        <v>1140</v>
      </c>
      <c r="F36" s="16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U101"/>
  <sheetViews>
    <sheetView showGridLines="0" tabSelected="1" zoomScaleNormal="100" workbookViewId="0">
      <selection activeCell="AB13" sqref="AB13"/>
    </sheetView>
  </sheetViews>
  <sheetFormatPr defaultRowHeight="15"/>
  <cols>
    <col min="1" max="1" width="28.28515625" style="4" customWidth="1"/>
    <col min="2" max="2" width="3.140625" customWidth="1"/>
    <col min="3" max="3" width="3.42578125" customWidth="1"/>
    <col min="12" max="12" width="6.5703125" customWidth="1"/>
  </cols>
  <sheetData>
    <row r="1" spans="1:21" ht="6.75" customHeight="1"/>
    <row r="2" spans="1:21" ht="38.25" customHeight="1" thickBot="1">
      <c r="D2" s="20" t="s">
        <v>323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  <c r="S2" s="19"/>
      <c r="T2" s="19"/>
      <c r="U2" s="19"/>
    </row>
    <row r="3" spans="1:21" ht="39" customHeight="1" thickTop="1"/>
    <row r="4" spans="1:21" s="7" customFormat="1" ht="8.25" customHeight="1">
      <c r="A4" s="4"/>
    </row>
    <row r="5" spans="1:21" s="7" customFormat="1" ht="7.5" customHeight="1">
      <c r="A5" s="4"/>
    </row>
    <row r="6" spans="1:21" s="7" customFormat="1" ht="10.5" customHeight="1">
      <c r="A6" s="4"/>
    </row>
    <row r="7" spans="1:21" s="7" customFormat="1" ht="9.75" customHeight="1">
      <c r="A7" s="4"/>
    </row>
    <row r="8" spans="1:21" s="7" customFormat="1" ht="33" customHeight="1">
      <c r="A8" s="4"/>
    </row>
    <row r="9" spans="1:21" s="7" customFormat="1">
      <c r="A9" s="4"/>
    </row>
    <row r="10" spans="1:21" s="7" customFormat="1">
      <c r="A10" s="4"/>
    </row>
    <row r="11" spans="1:21" s="7" customFormat="1">
      <c r="A11" s="4"/>
    </row>
    <row r="12" spans="1:21" s="7" customFormat="1">
      <c r="A12" s="4"/>
    </row>
    <row r="13" spans="1:21" s="7" customFormat="1">
      <c r="A13" s="4"/>
    </row>
    <row r="14" spans="1:21" s="7" customFormat="1">
      <c r="A14" s="4"/>
    </row>
    <row r="15" spans="1:21" s="7" customFormat="1">
      <c r="A15" s="4"/>
    </row>
    <row r="16" spans="1:21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Jesse Alves</cp:lastModifiedBy>
  <dcterms:created xsi:type="dcterms:W3CDTF">2024-12-19T13:13:10Z</dcterms:created>
  <dcterms:modified xsi:type="dcterms:W3CDTF">2026-10-23T17:44:43Z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